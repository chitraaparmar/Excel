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5462E4CA-42EE-415A-A609-7AAA749804FB}" xr6:coauthVersionLast="47" xr6:coauthVersionMax="47" xr10:uidLastSave="{00000000-0000-0000-0000-000000000000}"/>
  <bookViews>
    <workbookView xWindow="-110" yWindow="-110" windowWidth="19420" windowHeight="10300" activeTab="1" xr2:uid="{8B047CCA-9E52-46EF-9396-43C57985914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H4" i="2" a="1"/>
  <c r="H12" i="2" a="1"/>
  <c r="H16" i="2" a="1"/>
  <c r="H20" i="2" a="1"/>
  <c r="H5" i="2" a="1"/>
  <c r="H9" i="2" a="1"/>
  <c r="H13" i="2" a="1"/>
  <c r="H17" i="2" a="1"/>
  <c r="H6" i="2" a="1"/>
  <c r="H14" i="2" a="1"/>
  <c r="H18" i="2" a="1"/>
  <c r="H10" i="2" a="1"/>
  <c r="H8" i="2" a="1"/>
  <c r="H7" i="2" a="1"/>
  <c r="H11" i="2" a="1"/>
  <c r="H15" i="2" a="1"/>
  <c r="H19" i="2" a="1"/>
  <c r="H3" i="2" a="1"/>
  <c r="H19" i="2" l="1"/>
  <c r="H15" i="2"/>
  <c r="H11" i="2"/>
  <c r="H7" i="2"/>
  <c r="H8" i="2"/>
  <c r="H10" i="2"/>
  <c r="H18" i="2"/>
  <c r="H14" i="2"/>
  <c r="H6" i="2"/>
  <c r="H17" i="2"/>
  <c r="H13" i="2"/>
  <c r="H9" i="2"/>
  <c r="H5" i="2"/>
  <c r="H20" i="2"/>
  <c r="H16" i="2"/>
  <c r="H12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<sst xmlns="http://schemas.openxmlformats.org/spreadsheetml/2006/main" count="96" uniqueCount="47">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</sst>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workbookViewId="0">
      <selection activeCell="H3" sqref="H3"/>
    </sheetView>
  </sheetViews>
  <sheetFormatPr defaultRowHeight="14.5" x14ac:dyDescent="0.35"/>
  <cols>
    <col min="2" max="2" width="8.453125" style="3" bestFit="1" customWidth="1"/>
    <col min="3" max="3" width="15.7265625" bestFit="1" customWidth="1"/>
    <col min="4" max="4" width="16.26953125" bestFit="1" customWidth="1"/>
    <col min="5" max="5" width="8.7265625" bestFit="1" customWidth="1"/>
    <col min="6" max="6" width="6" bestFit="1" customWidth="1"/>
    <col min="7" max="7" width="8" bestFit="1" customWidth="1"/>
  </cols>
  <sheetData>
    <row r="2" spans="2:8" s="3" customFormat="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5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cm="1">
        <f t="array" ref="H3">discount_20(E3,F3)</f>
        <v>0</v>
      </c>
    </row>
    <row r="4" spans="2:8" x14ac:dyDescent="0.35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cm="1">
        <f t="array" ref="H4">discount_20(E4,F4)</f>
        <v>0</v>
      </c>
    </row>
    <row r="5" spans="2:8" x14ac:dyDescent="0.35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 cm="1">
        <f t="array" ref="H5">discount_20(E5,F5)</f>
        <v>0</v>
      </c>
    </row>
    <row r="6" spans="2:8" x14ac:dyDescent="0.35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cm="1">
        <f t="array" ref="H6">discount_20(E6,F6)</f>
        <v>0</v>
      </c>
    </row>
    <row r="7" spans="2:8" x14ac:dyDescent="0.35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cm="1">
        <f t="array" ref="H7">discount_20(E7,F7)</f>
        <v>0</v>
      </c>
    </row>
    <row r="8" spans="2:8" x14ac:dyDescent="0.35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cm="1">
        <f t="array" ref="H8">discount_20(E8,F8)</f>
        <v>0</v>
      </c>
    </row>
    <row r="9" spans="2:8" x14ac:dyDescent="0.35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cm="1">
        <f t="array" ref="H9">discount_20(E9,F9)</f>
        <v>0</v>
      </c>
    </row>
    <row r="10" spans="2:8" x14ac:dyDescent="0.35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cm="1">
        <f t="array" ref="H10">discount_20(E10,F10)</f>
        <v>0</v>
      </c>
    </row>
    <row r="11" spans="2:8" x14ac:dyDescent="0.35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 cm="1">
        <f t="array" ref="H11">discount_20(E11,F11)</f>
        <v>0</v>
      </c>
    </row>
    <row r="12" spans="2:8" x14ac:dyDescent="0.35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 cm="1">
        <f t="array" ref="H12">discount_20(E12,F12)</f>
        <v>0</v>
      </c>
    </row>
    <row r="13" spans="2:8" x14ac:dyDescent="0.35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cm="1">
        <f t="array" ref="H13">discount_20(E13,F13)</f>
        <v>0</v>
      </c>
    </row>
    <row r="14" spans="2:8" x14ac:dyDescent="0.35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 cm="1">
        <f t="array" ref="H14">discount_20(E14,F14)</f>
        <v>0</v>
      </c>
    </row>
    <row r="15" spans="2:8" x14ac:dyDescent="0.35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cm="1">
        <f t="array" ref="H15">discount_20(E15,F15)</f>
        <v>0</v>
      </c>
    </row>
    <row r="16" spans="2:8" x14ac:dyDescent="0.35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cm="1">
        <f t="array" ref="H16">discount_20(E16,F16)</f>
        <v>0</v>
      </c>
    </row>
    <row r="17" spans="2:8" x14ac:dyDescent="0.35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cm="1">
        <f t="array" ref="H17">discount_20(E17,F17)</f>
        <v>0</v>
      </c>
    </row>
    <row r="18" spans="2:8" x14ac:dyDescent="0.35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 cm="1">
        <f t="array" ref="H18">discount_20(E18,F18)</f>
        <v>0</v>
      </c>
    </row>
    <row r="19" spans="2:8" x14ac:dyDescent="0.35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cm="1">
        <f t="array" ref="H19">discount_20(E19,F19)</f>
        <v>0</v>
      </c>
    </row>
    <row r="20" spans="2:8" x14ac:dyDescent="0.35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 cm="1">
        <f t="array" ref="H20">discount_20(E20,F20)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O20"/>
  <sheetViews>
    <sheetView tabSelected="1" zoomScaleNormal="100" workbookViewId="0">
      <selection activeCell="I5" sqref="I5"/>
    </sheetView>
  </sheetViews>
  <sheetFormatPr defaultColWidth="8.26953125" defaultRowHeight="14.5" x14ac:dyDescent="0.35"/>
  <cols>
    <col min="2" max="2" width="8" bestFit="1" customWidth="1"/>
    <col min="3" max="3" width="14.36328125" bestFit="1" customWidth="1"/>
    <col min="4" max="4" width="14.81640625" bestFit="1" customWidth="1"/>
    <col min="5" max="5" width="8" bestFit="1" customWidth="1"/>
    <col min="6" max="6" width="5.81640625" bestFit="1" customWidth="1"/>
    <col min="7" max="7" width="7.81640625" bestFit="1" customWidth="1"/>
    <col min="14" max="14" width="2.81640625" bestFit="1" customWidth="1"/>
    <col min="15" max="15" width="31.6328125" style="6" bestFit="1" customWidth="1"/>
  </cols>
  <sheetData>
    <row r="2" spans="2:15" x14ac:dyDescent="0.35">
      <c r="B2" s="4" t="s">
        <v>0</v>
      </c>
      <c r="C2" s="9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  <c r="N2" s="1" t="s">
        <v>37</v>
      </c>
      <c r="O2" s="5" t="s">
        <v>38</v>
      </c>
    </row>
    <row r="3" spans="2:15" x14ac:dyDescent="0.35">
      <c r="B3" s="7">
        <v>11280</v>
      </c>
      <c r="C3" s="8" t="s">
        <v>7</v>
      </c>
      <c r="D3" s="8" t="s">
        <v>8</v>
      </c>
      <c r="E3" s="8">
        <v>15</v>
      </c>
      <c r="F3" s="8">
        <v>30000</v>
      </c>
      <c r="G3" s="8">
        <v>450000</v>
      </c>
      <c r="H3" s="1">
        <f>IF(E3&gt;20,G3-(G3*20%),0)</f>
        <v>0</v>
      </c>
      <c r="N3" s="1" t="s">
        <v>39</v>
      </c>
      <c r="O3" s="5" t="s">
        <v>40</v>
      </c>
    </row>
    <row r="4" spans="2:15" x14ac:dyDescent="0.35">
      <c r="B4" s="7">
        <v>11281</v>
      </c>
      <c r="C4" s="8" t="s">
        <v>9</v>
      </c>
      <c r="D4" s="8" t="s">
        <v>10</v>
      </c>
      <c r="E4" s="8">
        <v>10</v>
      </c>
      <c r="F4" s="8">
        <v>25000</v>
      </c>
      <c r="G4" s="8">
        <v>250000</v>
      </c>
      <c r="H4" s="1">
        <f t="shared" ref="H4:H20" si="0">IF(E4&gt;20,G4-(G4*20%),0)</f>
        <v>0</v>
      </c>
      <c r="N4" s="1" t="s">
        <v>41</v>
      </c>
      <c r="O4" s="5" t="s">
        <v>42</v>
      </c>
    </row>
    <row r="5" spans="2:15" x14ac:dyDescent="0.35">
      <c r="B5" s="7">
        <v>11282</v>
      </c>
      <c r="C5" s="8" t="s">
        <v>11</v>
      </c>
      <c r="D5" s="8" t="s">
        <v>12</v>
      </c>
      <c r="E5" s="8">
        <v>150</v>
      </c>
      <c r="F5" s="8">
        <v>28000</v>
      </c>
      <c r="G5" s="8">
        <v>4200000</v>
      </c>
      <c r="H5" s="1">
        <f t="shared" si="0"/>
        <v>3360000</v>
      </c>
      <c r="N5" s="1" t="s">
        <v>45</v>
      </c>
      <c r="O5" s="5" t="s">
        <v>43</v>
      </c>
    </row>
    <row r="6" spans="2:15" ht="29" x14ac:dyDescent="0.35">
      <c r="B6" s="7">
        <v>11283</v>
      </c>
      <c r="C6" s="8" t="s">
        <v>13</v>
      </c>
      <c r="D6" s="8" t="s">
        <v>14</v>
      </c>
      <c r="E6" s="8">
        <v>12</v>
      </c>
      <c r="F6" s="8">
        <v>30000</v>
      </c>
      <c r="G6" s="8">
        <v>360000</v>
      </c>
      <c r="H6" s="1">
        <f t="shared" si="0"/>
        <v>0</v>
      </c>
      <c r="N6" s="1" t="s">
        <v>46</v>
      </c>
      <c r="O6" s="5" t="s">
        <v>44</v>
      </c>
    </row>
    <row r="7" spans="2:15" x14ac:dyDescent="0.35">
      <c r="B7" s="7">
        <v>11284</v>
      </c>
      <c r="C7" s="8" t="s">
        <v>15</v>
      </c>
      <c r="D7" s="8" t="s">
        <v>16</v>
      </c>
      <c r="E7" s="8">
        <v>20</v>
      </c>
      <c r="F7" s="8">
        <v>30000</v>
      </c>
      <c r="G7" s="8">
        <v>600000</v>
      </c>
      <c r="H7" s="1">
        <f t="shared" si="0"/>
        <v>0</v>
      </c>
    </row>
    <row r="8" spans="2:15" x14ac:dyDescent="0.35">
      <c r="B8" s="7">
        <v>11285</v>
      </c>
      <c r="C8" s="8" t="s">
        <v>17</v>
      </c>
      <c r="D8" s="8" t="s">
        <v>18</v>
      </c>
      <c r="E8" s="8">
        <v>20</v>
      </c>
      <c r="F8" s="8">
        <v>26000</v>
      </c>
      <c r="G8" s="8">
        <v>520000</v>
      </c>
      <c r="H8" s="1">
        <f t="shared" si="0"/>
        <v>0</v>
      </c>
    </row>
    <row r="9" spans="2:15" x14ac:dyDescent="0.35">
      <c r="B9" s="7">
        <v>11286</v>
      </c>
      <c r="C9" s="8" t="s">
        <v>19</v>
      </c>
      <c r="D9" s="8" t="s">
        <v>20</v>
      </c>
      <c r="E9" s="8">
        <v>2</v>
      </c>
      <c r="F9" s="8">
        <v>30000</v>
      </c>
      <c r="G9" s="8">
        <v>60000</v>
      </c>
      <c r="H9" s="1">
        <f t="shared" si="0"/>
        <v>0</v>
      </c>
    </row>
    <row r="10" spans="2:15" x14ac:dyDescent="0.35">
      <c r="B10" s="7">
        <v>11287</v>
      </c>
      <c r="C10" s="8" t="s">
        <v>21</v>
      </c>
      <c r="D10" s="8" t="s">
        <v>22</v>
      </c>
      <c r="E10" s="8">
        <v>5</v>
      </c>
      <c r="F10" s="8">
        <v>35000</v>
      </c>
      <c r="G10" s="8">
        <v>175000</v>
      </c>
      <c r="H10" s="1">
        <f t="shared" si="0"/>
        <v>0</v>
      </c>
    </row>
    <row r="11" spans="2:15" x14ac:dyDescent="0.35">
      <c r="B11" s="7">
        <v>11288</v>
      </c>
      <c r="C11" s="8" t="s">
        <v>23</v>
      </c>
      <c r="D11" s="8" t="s">
        <v>24</v>
      </c>
      <c r="E11" s="8">
        <v>80</v>
      </c>
      <c r="F11" s="8">
        <v>30000</v>
      </c>
      <c r="G11" s="8">
        <v>2400000</v>
      </c>
      <c r="H11" s="1">
        <f t="shared" si="0"/>
        <v>1920000</v>
      </c>
    </row>
    <row r="12" spans="2:15" x14ac:dyDescent="0.35">
      <c r="B12" s="7">
        <v>11289</v>
      </c>
      <c r="C12" s="8" t="s">
        <v>25</v>
      </c>
      <c r="D12" s="8" t="s">
        <v>26</v>
      </c>
      <c r="E12" s="8">
        <v>100</v>
      </c>
      <c r="F12" s="8">
        <v>26000</v>
      </c>
      <c r="G12" s="8">
        <v>2600000</v>
      </c>
      <c r="H12" s="1">
        <f t="shared" si="0"/>
        <v>2080000</v>
      </c>
    </row>
    <row r="13" spans="2:15" x14ac:dyDescent="0.35">
      <c r="B13" s="7">
        <v>11290</v>
      </c>
      <c r="C13" s="8" t="s">
        <v>27</v>
      </c>
      <c r="D13" s="8" t="s">
        <v>28</v>
      </c>
      <c r="E13" s="8">
        <v>20</v>
      </c>
      <c r="F13" s="8">
        <v>35000</v>
      </c>
      <c r="G13" s="8">
        <v>700000</v>
      </c>
      <c r="H13" s="1">
        <f t="shared" si="0"/>
        <v>0</v>
      </c>
    </row>
    <row r="14" spans="2:15" x14ac:dyDescent="0.35">
      <c r="B14" s="7">
        <v>11291</v>
      </c>
      <c r="C14" s="8" t="s">
        <v>29</v>
      </c>
      <c r="D14" s="8" t="s">
        <v>30</v>
      </c>
      <c r="E14" s="8">
        <v>25</v>
      </c>
      <c r="F14" s="8">
        <v>40000</v>
      </c>
      <c r="G14" s="8">
        <v>1000000</v>
      </c>
      <c r="H14" s="1">
        <f t="shared" si="0"/>
        <v>800000</v>
      </c>
    </row>
    <row r="15" spans="2:15" x14ac:dyDescent="0.35">
      <c r="B15" s="7">
        <v>11292</v>
      </c>
      <c r="C15" s="8" t="s">
        <v>31</v>
      </c>
      <c r="D15" s="8" t="s">
        <v>12</v>
      </c>
      <c r="E15" s="8">
        <v>10</v>
      </c>
      <c r="F15" s="8">
        <v>28000</v>
      </c>
      <c r="G15" s="8">
        <v>280000</v>
      </c>
      <c r="H15" s="1">
        <f t="shared" si="0"/>
        <v>0</v>
      </c>
    </row>
    <row r="16" spans="2:15" x14ac:dyDescent="0.35">
      <c r="B16" s="7">
        <v>11293</v>
      </c>
      <c r="C16" s="8" t="s">
        <v>32</v>
      </c>
      <c r="D16" s="8" t="s">
        <v>14</v>
      </c>
      <c r="E16" s="8">
        <v>10</v>
      </c>
      <c r="F16" s="8">
        <v>30000</v>
      </c>
      <c r="G16" s="8">
        <v>300000</v>
      </c>
      <c r="H16" s="1">
        <f t="shared" si="0"/>
        <v>0</v>
      </c>
    </row>
    <row r="17" spans="2:8" x14ac:dyDescent="0.35">
      <c r="B17" s="7">
        <v>11294</v>
      </c>
      <c r="C17" s="8" t="s">
        <v>33</v>
      </c>
      <c r="D17" s="8" t="s">
        <v>16</v>
      </c>
      <c r="E17" s="8">
        <v>5</v>
      </c>
      <c r="F17" s="8">
        <v>30000</v>
      </c>
      <c r="G17" s="8">
        <v>150000</v>
      </c>
      <c r="H17" s="1">
        <f t="shared" si="0"/>
        <v>0</v>
      </c>
    </row>
    <row r="18" spans="2:8" x14ac:dyDescent="0.35">
      <c r="B18" s="7">
        <v>11295</v>
      </c>
      <c r="C18" s="8" t="s">
        <v>34</v>
      </c>
      <c r="D18" s="8" t="s">
        <v>18</v>
      </c>
      <c r="E18" s="8">
        <v>180</v>
      </c>
      <c r="F18" s="8">
        <v>26000</v>
      </c>
      <c r="G18" s="8">
        <v>4680000</v>
      </c>
      <c r="H18" s="1">
        <f t="shared" si="0"/>
        <v>3744000</v>
      </c>
    </row>
    <row r="19" spans="2:8" x14ac:dyDescent="0.35">
      <c r="B19" s="7">
        <v>11296</v>
      </c>
      <c r="C19" s="8" t="s">
        <v>35</v>
      </c>
      <c r="D19" s="8" t="s">
        <v>20</v>
      </c>
      <c r="E19" s="8">
        <v>5</v>
      </c>
      <c r="F19" s="8">
        <v>30000</v>
      </c>
      <c r="G19" s="8">
        <v>150000</v>
      </c>
      <c r="H19" s="1">
        <f t="shared" si="0"/>
        <v>0</v>
      </c>
    </row>
    <row r="20" spans="2:8" x14ac:dyDescent="0.35">
      <c r="B20" s="7">
        <v>11297</v>
      </c>
      <c r="C20" s="8" t="s">
        <v>36</v>
      </c>
      <c r="D20" s="8" t="s">
        <v>22</v>
      </c>
      <c r="E20" s="8">
        <v>250</v>
      </c>
      <c r="F20" s="8">
        <v>35000</v>
      </c>
      <c r="G20" s="8">
        <v>8750000</v>
      </c>
      <c r="H20" s="1">
        <f t="shared" si="0"/>
        <v>7000000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Chitra Parmar</cp:lastModifiedBy>
  <dcterms:created xsi:type="dcterms:W3CDTF">2024-05-20T09:31:27Z</dcterms:created>
  <dcterms:modified xsi:type="dcterms:W3CDTF">2026-08-14T14:02:13Z</dcterms:modified>
</cp:coreProperties>
</file>